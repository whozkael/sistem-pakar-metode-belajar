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yuci\SEMESTER 3\KECERDASAN TIRUAN\Sistem_Pakar_Metode_Belajar\"/>
    </mc:Choice>
  </mc:AlternateContent>
  <xr:revisionPtr revIDLastSave="0" documentId="13_ncr:1_{5F436C43-17C5-46E1-A454-F9B260D9E7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4" i="1" l="1"/>
  <c r="U44" i="1"/>
  <c r="T44" i="1"/>
  <c r="W44" i="1" s="1"/>
  <c r="X44" i="1" s="1"/>
  <c r="R44" i="1"/>
  <c r="S44" i="1" s="1"/>
  <c r="V43" i="1"/>
  <c r="U43" i="1"/>
  <c r="T43" i="1"/>
  <c r="W43" i="1" s="1"/>
  <c r="X43" i="1" s="1"/>
  <c r="R43" i="1"/>
  <c r="S43" i="1" s="1"/>
  <c r="V42" i="1"/>
  <c r="U42" i="1"/>
  <c r="T42" i="1"/>
  <c r="W42" i="1" s="1"/>
  <c r="X42" i="1" s="1"/>
  <c r="R42" i="1"/>
  <c r="S42" i="1" s="1"/>
  <c r="V41" i="1"/>
  <c r="U41" i="1"/>
  <c r="T41" i="1"/>
  <c r="W41" i="1" s="1"/>
  <c r="X41" i="1" s="1"/>
  <c r="R41" i="1"/>
  <c r="S41" i="1" s="1"/>
  <c r="V40" i="1"/>
  <c r="U40" i="1"/>
  <c r="W40" i="1" s="1"/>
  <c r="X40" i="1" s="1"/>
  <c r="T40" i="1"/>
  <c r="R40" i="1"/>
  <c r="S40" i="1" s="1"/>
  <c r="V39" i="1"/>
  <c r="U39" i="1"/>
  <c r="T39" i="1"/>
  <c r="W39" i="1" s="1"/>
  <c r="X39" i="1" s="1"/>
  <c r="R39" i="1"/>
  <c r="S39" i="1" s="1"/>
  <c r="V38" i="1"/>
  <c r="U38" i="1"/>
  <c r="T38" i="1"/>
  <c r="W38" i="1" s="1"/>
  <c r="X38" i="1" s="1"/>
  <c r="R38" i="1"/>
  <c r="S38" i="1" s="1"/>
  <c r="V37" i="1"/>
  <c r="U37" i="1"/>
  <c r="T37" i="1"/>
  <c r="W37" i="1" s="1"/>
  <c r="X37" i="1" s="1"/>
  <c r="R37" i="1"/>
  <c r="S37" i="1" s="1"/>
  <c r="V36" i="1"/>
  <c r="U36" i="1"/>
  <c r="T36" i="1"/>
  <c r="W36" i="1" s="1"/>
  <c r="X36" i="1" s="1"/>
  <c r="R36" i="1"/>
  <c r="S36" i="1" s="1"/>
  <c r="V35" i="1"/>
  <c r="U35" i="1"/>
  <c r="T35" i="1"/>
  <c r="W35" i="1" s="1"/>
  <c r="X35" i="1" s="1"/>
  <c r="Y35" i="1" s="1"/>
  <c r="R35" i="1"/>
  <c r="S35" i="1" s="1"/>
  <c r="V34" i="1"/>
  <c r="U34" i="1"/>
  <c r="T34" i="1"/>
  <c r="W34" i="1" s="1"/>
  <c r="X34" i="1" s="1"/>
  <c r="R34" i="1"/>
  <c r="S34" i="1" s="1"/>
  <c r="V33" i="1"/>
  <c r="U33" i="1"/>
  <c r="T33" i="1"/>
  <c r="W33" i="1" s="1"/>
  <c r="X33" i="1" s="1"/>
  <c r="R33" i="1"/>
  <c r="S33" i="1" s="1"/>
  <c r="V32" i="1"/>
  <c r="U32" i="1"/>
  <c r="T32" i="1"/>
  <c r="W32" i="1" s="1"/>
  <c r="X32" i="1" s="1"/>
  <c r="R32" i="1"/>
  <c r="S32" i="1" s="1"/>
  <c r="V31" i="1"/>
  <c r="U31" i="1"/>
  <c r="T31" i="1"/>
  <c r="W31" i="1" s="1"/>
  <c r="X31" i="1" s="1"/>
  <c r="R31" i="1"/>
  <c r="S31" i="1" s="1"/>
  <c r="V30" i="1"/>
  <c r="U30" i="1"/>
  <c r="T30" i="1"/>
  <c r="W30" i="1" s="1"/>
  <c r="X30" i="1" s="1"/>
  <c r="Y30" i="1" s="1"/>
  <c r="R30" i="1"/>
  <c r="S30" i="1" s="1"/>
  <c r="V29" i="1"/>
  <c r="U29" i="1"/>
  <c r="T29" i="1"/>
  <c r="W29" i="1" s="1"/>
  <c r="X29" i="1" s="1"/>
  <c r="R29" i="1"/>
  <c r="S29" i="1" s="1"/>
  <c r="V28" i="1"/>
  <c r="U28" i="1"/>
  <c r="T28" i="1"/>
  <c r="W28" i="1" s="1"/>
  <c r="X28" i="1" s="1"/>
  <c r="R28" i="1"/>
  <c r="S28" i="1" s="1"/>
  <c r="V27" i="1"/>
  <c r="U27" i="1"/>
  <c r="T27" i="1"/>
  <c r="W27" i="1" s="1"/>
  <c r="X27" i="1" s="1"/>
  <c r="R27" i="1"/>
  <c r="S27" i="1" s="1"/>
  <c r="V26" i="1"/>
  <c r="U26" i="1"/>
  <c r="T26" i="1"/>
  <c r="W26" i="1" s="1"/>
  <c r="X26" i="1" s="1"/>
  <c r="R26" i="1"/>
  <c r="S26" i="1" s="1"/>
  <c r="V25" i="1"/>
  <c r="U25" i="1"/>
  <c r="T25" i="1"/>
  <c r="W25" i="1" s="1"/>
  <c r="X25" i="1" s="1"/>
  <c r="R25" i="1"/>
  <c r="S25" i="1" s="1"/>
  <c r="R50" i="1" l="1"/>
  <c r="R49" i="1"/>
  <c r="R48" i="1"/>
  <c r="Y25" i="1"/>
  <c r="Y40" i="1"/>
  <c r="Y26" i="1"/>
  <c r="Y36" i="1"/>
  <c r="Y27" i="1"/>
  <c r="Y37" i="1"/>
  <c r="Y41" i="1"/>
  <c r="Y32" i="1"/>
  <c r="Y31" i="1"/>
  <c r="Y42" i="1"/>
  <c r="Y43" i="1"/>
  <c r="Y39" i="1"/>
  <c r="Y28" i="1"/>
  <c r="Y33" i="1"/>
  <c r="Y38" i="1"/>
  <c r="Y29" i="1"/>
  <c r="Y34" i="1"/>
  <c r="Y44" i="1"/>
</calcChain>
</file>

<file path=xl/sharedStrings.xml><?xml version="1.0" encoding="utf-8"?>
<sst xmlns="http://schemas.openxmlformats.org/spreadsheetml/2006/main" count="469" uniqueCount="140">
  <si>
    <t>Sistem Pakar Rekomendasi Metode Belajar Mahasiswa Menggunakan Metode Case-Based Reasoning (CBR) Berbasis Python</t>
  </si>
  <si>
    <t>Tabel Metode Belajar</t>
  </si>
  <si>
    <t>Tabel Relasi Basis Pengetahuan</t>
  </si>
  <si>
    <t>Tabel Input Kondisi Mahasiswa</t>
  </si>
  <si>
    <t>ID</t>
  </si>
  <si>
    <t>nama_metode</t>
  </si>
  <si>
    <t>No. Kasus</t>
  </si>
  <si>
    <t>ID Metode</t>
  </si>
  <si>
    <t>ID Kondisi</t>
  </si>
  <si>
    <t>Nama Metode</t>
  </si>
  <si>
    <t>Nama Kondisi</t>
  </si>
  <si>
    <t>No.</t>
  </si>
  <si>
    <t>Nama Kondisi Mahasiswa</t>
  </si>
  <si>
    <t>Jawaban</t>
  </si>
  <si>
    <t>M01</t>
  </si>
  <si>
    <t>Pomodoro</t>
  </si>
  <si>
    <t>K01</t>
  </si>
  <si>
    <t>G01</t>
  </si>
  <si>
    <t>Pomodoro Technique</t>
  </si>
  <si>
    <t>Sulit berkonsentrasi dalam waktu lama</t>
  </si>
  <si>
    <t>M02</t>
  </si>
  <si>
    <t>Active Recall</t>
  </si>
  <si>
    <t>G05</t>
  </si>
  <si>
    <t>Waktu belajar yang tersedia terbatas</t>
  </si>
  <si>
    <t>G02</t>
  </si>
  <si>
    <t>Mudah lupa materi yang sudah dipelajari</t>
  </si>
  <si>
    <t>M03</t>
  </si>
  <si>
    <t>Spaced Repetition</t>
  </si>
  <si>
    <t>G11</t>
  </si>
  <si>
    <t>Sering menunda memulai belajar</t>
  </si>
  <si>
    <t>G03</t>
  </si>
  <si>
    <t>Sulit memahami konsep yang abstrak</t>
  </si>
  <si>
    <t>M04</t>
  </si>
  <si>
    <t>Feynman Technique</t>
  </si>
  <si>
    <t>K02</t>
  </si>
  <si>
    <t>G04</t>
  </si>
  <si>
    <t>Kesulitan menghubungkan beberapa konsep</t>
  </si>
  <si>
    <t>M05</t>
  </si>
  <si>
    <t xml:space="preserve">Mind Mapping </t>
  </si>
  <si>
    <t>G09</t>
  </si>
  <si>
    <t>Kesulitan menjelaskan materi dengan kata-kata sendiri</t>
  </si>
  <si>
    <t>M06</t>
  </si>
  <si>
    <t>Practice Testing</t>
  </si>
  <si>
    <t>K03</t>
  </si>
  <si>
    <t>G06</t>
  </si>
  <si>
    <t>Sulit menyelesaikan soal latihan</t>
  </si>
  <si>
    <t>M07</t>
  </si>
  <si>
    <t xml:space="preserve">Interleaving </t>
  </si>
  <si>
    <t>G10</t>
  </si>
  <si>
    <t>Sulit mempertahankan ingatan dalam jangka panjang</t>
  </si>
  <si>
    <t>G07</t>
  </si>
  <si>
    <t>Merasa bosan dengan satu jenis latihan</t>
  </si>
  <si>
    <t>M08</t>
  </si>
  <si>
    <t>Collaborative Learning</t>
  </si>
  <si>
    <t>K04</t>
  </si>
  <si>
    <t>G08</t>
  </si>
  <si>
    <t>Lebih terbantu dengan diskusi bersama orang lain</t>
  </si>
  <si>
    <t>Pomodoro + Active Recall</t>
  </si>
  <si>
    <t>M10</t>
  </si>
  <si>
    <t>Spaced Repetition + Practice Testing</t>
  </si>
  <si>
    <t>K05</t>
  </si>
  <si>
    <t>Mind Mapping</t>
  </si>
  <si>
    <t>M11</t>
  </si>
  <si>
    <t>Active Recall + Practice Testing</t>
  </si>
  <si>
    <t>M12</t>
  </si>
  <si>
    <t>Pomodoro + Spaced Repetition</t>
  </si>
  <si>
    <t>K06</t>
  </si>
  <si>
    <t>G12</t>
  </si>
  <si>
    <t>Kesulitan menerapkan konsep pada soal yang berbeda</t>
  </si>
  <si>
    <t>M13</t>
  </si>
  <si>
    <t xml:space="preserve">Feynman Technique + Mind Mapping </t>
  </si>
  <si>
    <t>K07</t>
  </si>
  <si>
    <t>Interleaving</t>
  </si>
  <si>
    <t>K08</t>
  </si>
  <si>
    <t>Tabel Perhitungan Kemiripan Kasus</t>
  </si>
  <si>
    <t>Kasus</t>
  </si>
  <si>
    <t>Nama Metode Belajar</t>
  </si>
  <si>
    <t>Jumlah Dipilih</t>
  </si>
  <si>
    <t>Jumlah di Kasus</t>
  </si>
  <si>
    <t>Jumlah Cocok</t>
  </si>
  <si>
    <t>Pembagi</t>
  </si>
  <si>
    <t>Similarity</t>
  </si>
  <si>
    <t>Ranking</t>
  </si>
  <si>
    <t>K09</t>
  </si>
  <si>
    <t>M09</t>
  </si>
  <si>
    <t>Tabel Kondisi</t>
  </si>
  <si>
    <t>kondisi</t>
  </si>
  <si>
    <t>Sulit Fokus</t>
  </si>
  <si>
    <t>K10</t>
  </si>
  <si>
    <t>Mudah Lupa</t>
  </si>
  <si>
    <t>Sulit Memahami Konsep</t>
  </si>
  <si>
    <t>K11</t>
  </si>
  <si>
    <t>Waktu Terbatas</t>
  </si>
  <si>
    <t>Sulit Mengerjakan Soal</t>
  </si>
  <si>
    <t>K12</t>
  </si>
  <si>
    <t>Bosan latihan Monoton</t>
  </si>
  <si>
    <t>Terbantu Diskusi</t>
  </si>
  <si>
    <t>K13</t>
  </si>
  <si>
    <t>Sulit Menjelaskan Materi Dengan Kata-Kata Sendiri</t>
  </si>
  <si>
    <t>Sulit Mengingat Jangka Panjang</t>
  </si>
  <si>
    <t>Sering Menunda Belajar</t>
  </si>
  <si>
    <t>K14</t>
  </si>
  <si>
    <t>Sulit Menerapkan Konsep Pada Soal yang Berbeda</t>
  </si>
  <si>
    <t>K15</t>
  </si>
  <si>
    <t>K16</t>
  </si>
  <si>
    <t>K17</t>
  </si>
  <si>
    <t>K18</t>
  </si>
  <si>
    <t>K19</t>
  </si>
  <si>
    <t>K20</t>
  </si>
  <si>
    <t>Tabel Basis Kasus Utama</t>
  </si>
  <si>
    <t>Rekomendasi Metode Belajar</t>
  </si>
  <si>
    <t>G01, G05, G11</t>
  </si>
  <si>
    <t>G02, G09</t>
  </si>
  <si>
    <t>G02, G10</t>
  </si>
  <si>
    <t>G03, G09</t>
  </si>
  <si>
    <t>G03, G04</t>
  </si>
  <si>
    <t>G06, G12</t>
  </si>
  <si>
    <t>G07, G12</t>
  </si>
  <si>
    <t>Feynman Technique + Mind Mapping</t>
  </si>
  <si>
    <t>G03, G08</t>
  </si>
  <si>
    <t>G02, G06, G10</t>
  </si>
  <si>
    <t>G02, G05, G10</t>
  </si>
  <si>
    <t>G03, G09, G12</t>
  </si>
  <si>
    <t>G03, G04, G05</t>
  </si>
  <si>
    <t>G06, G10, G12</t>
  </si>
  <si>
    <t>G02, G06, G12</t>
  </si>
  <si>
    <t>Active Recall + Practive Testing</t>
  </si>
  <si>
    <t>G01, G02, G10</t>
  </si>
  <si>
    <t>G03, G04, G09</t>
  </si>
  <si>
    <t>G03, G04, G08</t>
  </si>
  <si>
    <t>HASIL REKOMENDASI CBR</t>
  </si>
  <si>
    <t>Kasus terbaik</t>
  </si>
  <si>
    <t>Metode direkomendasikan</t>
  </si>
  <si>
    <t>Similarity tertinggi</t>
  </si>
  <si>
    <t>G01, G02, G11</t>
  </si>
  <si>
    <t>G01, G05</t>
  </si>
  <si>
    <t>G02, G06</t>
  </si>
  <si>
    <t>Keterangan: 1 = Ya</t>
  </si>
  <si>
    <t>0 = Tidak</t>
  </si>
  <si>
    <t>Sulit Menghubungkan Konsep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</si>
</sst>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theme="1"/>
      <name val="Calibri"/>
    </font>
    <font>
      <b/>
      <sz val="12"/>
      <color theme="1"/>
      <name val="Times New Roman"/>
    </font>
    <font>
      <b/>
      <sz val="11"/>
      <color rgb="FF172B22"/>
      <name val="Calibri"/>
    </font>
    <font>
      <b/>
      <sz val="11"/>
      <color rgb="FF20523B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7" tint="0.7999511703848384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3D58C"/>
      </patternFill>
    </fill>
    <fill>
      <patternFill patternType="solid">
        <fgColor rgb="FFDCEADD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1" fillId="5" borderId="1" xfId="0" applyFont="1" applyFill="1" applyBorder="1" applyAlignment="1">
      <alignment horizontal="center"/>
    </xf>
    <xf numFmtId="0" fontId="0" fillId="5" borderId="1" xfId="0" applyFill="1" applyBorder="1"/>
    <xf numFmtId="10" fontId="0" fillId="0" borderId="0" xfId="0" applyNumberFormat="1"/>
    <xf numFmtId="0" fontId="3" fillId="7" borderId="3" xfId="0" applyFont="1" applyFill="1" applyBorder="1" applyAlignment="1">
      <alignment horizontal="center" vertical="center" wrapText="1"/>
    </xf>
    <xf numFmtId="0" fontId="4" fillId="8" borderId="0" xfId="0" applyFont="1" applyFill="1"/>
    <xf numFmtId="0" fontId="0" fillId="0" borderId="0" xfId="0" applyAlignment="1">
      <alignment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10" fontId="0" fillId="0" borderId="3" xfId="0" applyNumberFormat="1" applyBorder="1" applyAlignment="1">
      <alignment vertical="center" wrapText="1"/>
    </xf>
    <xf numFmtId="9" fontId="0" fillId="0" borderId="3" xfId="0" applyNumberFormat="1" applyBorder="1" applyAlignment="1">
      <alignment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Y66"/>
  <sheetViews>
    <sheetView tabSelected="1" topLeftCell="A21" zoomScale="73" zoomScaleNormal="73" workbookViewId="0">
      <selection activeCell="D25" sqref="D25"/>
    </sheetView>
  </sheetViews>
  <sheetFormatPr defaultRowHeight="14.4" x14ac:dyDescent="0.3"/>
  <cols>
    <col min="2" max="2" width="8.5546875" customWidth="1"/>
    <col min="3" max="3" width="51.5546875" customWidth="1"/>
    <col min="4" max="4" width="30.109375" customWidth="1"/>
    <col min="5" max="5" width="38.44140625" customWidth="1"/>
    <col min="6" max="6" width="22.33203125" customWidth="1"/>
    <col min="7" max="8" width="12.88671875" customWidth="1"/>
    <col min="9" max="9" width="16.44140625" customWidth="1"/>
    <col min="10" max="10" width="14.44140625" customWidth="1"/>
    <col min="11" max="11" width="39.5546875" customWidth="1"/>
    <col min="12" max="12" width="58.6640625" customWidth="1"/>
    <col min="14" max="14" width="5.88671875" customWidth="1"/>
    <col min="15" max="15" width="3.6640625" customWidth="1"/>
    <col min="16" max="16" width="8.109375" customWidth="1"/>
    <col min="17" max="17" width="27" customWidth="1"/>
    <col min="18" max="18" width="15.88671875" customWidth="1"/>
    <col min="19" max="19" width="30" customWidth="1"/>
    <col min="20" max="23" width="16" customWidth="1"/>
    <col min="24" max="24" width="15" customWidth="1"/>
    <col min="25" max="25" width="11" customWidth="1"/>
  </cols>
  <sheetData>
    <row r="3" spans="2:22" ht="15.6" x14ac:dyDescent="0.3">
      <c r="C3" s="22" t="s">
        <v>0</v>
      </c>
      <c r="D3" s="22"/>
      <c r="E3" s="22"/>
      <c r="F3" s="22"/>
      <c r="G3" s="22"/>
      <c r="H3" s="22"/>
      <c r="I3" s="22"/>
      <c r="J3" s="22"/>
      <c r="K3" s="22"/>
      <c r="L3" s="22"/>
    </row>
    <row r="6" spans="2:22" x14ac:dyDescent="0.3">
      <c r="B6" s="23" t="s">
        <v>1</v>
      </c>
      <c r="C6" s="24"/>
      <c r="G6" s="25" t="s">
        <v>2</v>
      </c>
      <c r="H6" s="25"/>
      <c r="I6" s="25"/>
      <c r="J6" s="25"/>
      <c r="K6" s="25"/>
      <c r="L6" s="25"/>
      <c r="Q6" s="26" t="s">
        <v>3</v>
      </c>
      <c r="R6" s="27"/>
      <c r="S6" s="27"/>
      <c r="T6" s="27"/>
    </row>
    <row r="7" spans="2:22" x14ac:dyDescent="0.3">
      <c r="B7" s="4" t="s">
        <v>4</v>
      </c>
      <c r="C7" s="4" t="s">
        <v>5</v>
      </c>
      <c r="G7" s="7" t="s">
        <v>4</v>
      </c>
      <c r="H7" s="7" t="s">
        <v>6</v>
      </c>
      <c r="I7" s="7" t="s">
        <v>7</v>
      </c>
      <c r="J7" s="7" t="s">
        <v>8</v>
      </c>
      <c r="K7" s="7" t="s">
        <v>9</v>
      </c>
      <c r="L7" s="7" t="s">
        <v>10</v>
      </c>
      <c r="Q7" s="15" t="s">
        <v>11</v>
      </c>
      <c r="R7" s="15" t="s">
        <v>8</v>
      </c>
      <c r="S7" s="15" t="s">
        <v>12</v>
      </c>
      <c r="T7" s="15" t="s">
        <v>13</v>
      </c>
      <c r="U7" s="16" t="s">
        <v>137</v>
      </c>
      <c r="V7" s="17" t="s">
        <v>138</v>
      </c>
    </row>
    <row r="8" spans="2:22" ht="28.8" x14ac:dyDescent="0.3">
      <c r="B8" s="1" t="s">
        <v>14</v>
      </c>
      <c r="C8" s="1" t="s">
        <v>15</v>
      </c>
      <c r="G8" s="8">
        <v>1</v>
      </c>
      <c r="H8" s="8" t="s">
        <v>16</v>
      </c>
      <c r="I8" s="8" t="s">
        <v>14</v>
      </c>
      <c r="J8" s="8" t="s">
        <v>17</v>
      </c>
      <c r="K8" s="8" t="s">
        <v>18</v>
      </c>
      <c r="L8" s="8" t="s">
        <v>19</v>
      </c>
      <c r="Q8" s="13">
        <v>1</v>
      </c>
      <c r="R8" s="13" t="s">
        <v>17</v>
      </c>
      <c r="S8" s="14" t="s">
        <v>19</v>
      </c>
      <c r="T8" s="13">
        <v>1</v>
      </c>
    </row>
    <row r="9" spans="2:22" ht="28.8" x14ac:dyDescent="0.3">
      <c r="B9" s="1" t="s">
        <v>20</v>
      </c>
      <c r="C9" s="1" t="s">
        <v>21</v>
      </c>
      <c r="G9" s="8">
        <v>2</v>
      </c>
      <c r="H9" s="8" t="s">
        <v>16</v>
      </c>
      <c r="I9" s="8" t="s">
        <v>14</v>
      </c>
      <c r="J9" s="8" t="s">
        <v>22</v>
      </c>
      <c r="K9" s="8" t="s">
        <v>18</v>
      </c>
      <c r="L9" s="8" t="s">
        <v>23</v>
      </c>
      <c r="Q9" s="13">
        <v>2</v>
      </c>
      <c r="R9" s="13" t="s">
        <v>24</v>
      </c>
      <c r="S9" s="14" t="s">
        <v>25</v>
      </c>
      <c r="T9" s="13">
        <v>1</v>
      </c>
    </row>
    <row r="10" spans="2:22" ht="28.8" x14ac:dyDescent="0.3">
      <c r="B10" s="1" t="s">
        <v>26</v>
      </c>
      <c r="C10" s="1" t="s">
        <v>27</v>
      </c>
      <c r="G10" s="8">
        <v>3</v>
      </c>
      <c r="H10" s="8" t="s">
        <v>16</v>
      </c>
      <c r="I10" s="8" t="s">
        <v>14</v>
      </c>
      <c r="J10" s="8" t="s">
        <v>28</v>
      </c>
      <c r="K10" s="8" t="s">
        <v>18</v>
      </c>
      <c r="L10" s="8" t="s">
        <v>29</v>
      </c>
      <c r="Q10" s="13">
        <v>3</v>
      </c>
      <c r="R10" s="13" t="s">
        <v>30</v>
      </c>
      <c r="S10" s="14" t="s">
        <v>31</v>
      </c>
      <c r="T10" s="13">
        <v>0</v>
      </c>
    </row>
    <row r="11" spans="2:22" ht="28.8" x14ac:dyDescent="0.3">
      <c r="B11" s="1" t="s">
        <v>32</v>
      </c>
      <c r="C11" s="1" t="s">
        <v>33</v>
      </c>
      <c r="G11" s="8">
        <v>4</v>
      </c>
      <c r="H11" s="8" t="s">
        <v>34</v>
      </c>
      <c r="I11" s="8" t="s">
        <v>20</v>
      </c>
      <c r="J11" s="8" t="s">
        <v>24</v>
      </c>
      <c r="K11" s="8" t="s">
        <v>21</v>
      </c>
      <c r="L11" s="8" t="s">
        <v>25</v>
      </c>
      <c r="Q11" s="13">
        <v>4</v>
      </c>
      <c r="R11" s="13" t="s">
        <v>35</v>
      </c>
      <c r="S11" s="14" t="s">
        <v>36</v>
      </c>
      <c r="T11" s="13">
        <v>0</v>
      </c>
    </row>
    <row r="12" spans="2:22" ht="28.8" x14ac:dyDescent="0.3">
      <c r="B12" s="1" t="s">
        <v>37</v>
      </c>
      <c r="C12" s="1" t="s">
        <v>38</v>
      </c>
      <c r="G12" s="8">
        <v>5</v>
      </c>
      <c r="H12" s="8" t="s">
        <v>34</v>
      </c>
      <c r="I12" s="8" t="s">
        <v>20</v>
      </c>
      <c r="J12" s="8" t="s">
        <v>39</v>
      </c>
      <c r="K12" s="8" t="s">
        <v>21</v>
      </c>
      <c r="L12" s="8" t="s">
        <v>40</v>
      </c>
      <c r="Q12" s="13">
        <v>5</v>
      </c>
      <c r="R12" s="13" t="s">
        <v>22</v>
      </c>
      <c r="S12" s="14" t="s">
        <v>23</v>
      </c>
      <c r="T12" s="13">
        <v>0</v>
      </c>
    </row>
    <row r="13" spans="2:22" x14ac:dyDescent="0.3">
      <c r="B13" s="1" t="s">
        <v>41</v>
      </c>
      <c r="C13" s="1" t="s">
        <v>42</v>
      </c>
      <c r="G13" s="8">
        <v>6</v>
      </c>
      <c r="H13" s="8" t="s">
        <v>43</v>
      </c>
      <c r="I13" s="8" t="s">
        <v>26</v>
      </c>
      <c r="J13" s="8" t="s">
        <v>24</v>
      </c>
      <c r="K13" s="8" t="s">
        <v>27</v>
      </c>
      <c r="L13" s="8" t="s">
        <v>25</v>
      </c>
      <c r="Q13" s="13">
        <v>6</v>
      </c>
      <c r="R13" s="13" t="s">
        <v>44</v>
      </c>
      <c r="S13" s="14" t="s">
        <v>45</v>
      </c>
      <c r="T13" s="13">
        <v>0</v>
      </c>
    </row>
    <row r="14" spans="2:22" ht="28.8" x14ac:dyDescent="0.3">
      <c r="B14" s="1" t="s">
        <v>46</v>
      </c>
      <c r="C14" s="1" t="s">
        <v>47</v>
      </c>
      <c r="G14" s="8">
        <v>7</v>
      </c>
      <c r="H14" s="8" t="s">
        <v>43</v>
      </c>
      <c r="I14" s="8" t="s">
        <v>26</v>
      </c>
      <c r="J14" s="8" t="s">
        <v>48</v>
      </c>
      <c r="K14" s="8" t="s">
        <v>27</v>
      </c>
      <c r="L14" s="8" t="s">
        <v>49</v>
      </c>
      <c r="Q14" s="13">
        <v>7</v>
      </c>
      <c r="R14" s="13" t="s">
        <v>50</v>
      </c>
      <c r="S14" s="14" t="s">
        <v>51</v>
      </c>
      <c r="T14" s="13">
        <v>0</v>
      </c>
    </row>
    <row r="15" spans="2:22" ht="28.8" x14ac:dyDescent="0.3">
      <c r="B15" s="1" t="s">
        <v>52</v>
      </c>
      <c r="C15" s="1" t="s">
        <v>53</v>
      </c>
      <c r="G15" s="8">
        <v>8</v>
      </c>
      <c r="H15" s="8" t="s">
        <v>54</v>
      </c>
      <c r="I15" s="8" t="s">
        <v>32</v>
      </c>
      <c r="J15" s="8" t="s">
        <v>30</v>
      </c>
      <c r="K15" s="8" t="s">
        <v>33</v>
      </c>
      <c r="L15" s="8" t="s">
        <v>31</v>
      </c>
      <c r="Q15" s="13">
        <v>8</v>
      </c>
      <c r="R15" s="13" t="s">
        <v>55</v>
      </c>
      <c r="S15" s="14" t="s">
        <v>56</v>
      </c>
      <c r="T15" s="13">
        <v>0</v>
      </c>
    </row>
    <row r="16" spans="2:22" ht="28.8" x14ac:dyDescent="0.3">
      <c r="B16" s="1" t="s">
        <v>84</v>
      </c>
      <c r="C16" s="1" t="s">
        <v>57</v>
      </c>
      <c r="G16" s="8">
        <v>9</v>
      </c>
      <c r="H16" s="8" t="s">
        <v>54</v>
      </c>
      <c r="I16" s="8" t="s">
        <v>32</v>
      </c>
      <c r="J16" s="8" t="s">
        <v>39</v>
      </c>
      <c r="K16" s="8" t="s">
        <v>33</v>
      </c>
      <c r="L16" s="8" t="s">
        <v>40</v>
      </c>
      <c r="Q16" s="13">
        <v>9</v>
      </c>
      <c r="R16" s="13" t="s">
        <v>39</v>
      </c>
      <c r="S16" s="14" t="s">
        <v>40</v>
      </c>
      <c r="T16" s="13">
        <v>0</v>
      </c>
    </row>
    <row r="17" spans="2:25" ht="28.8" x14ac:dyDescent="0.3">
      <c r="B17" s="1" t="s">
        <v>58</v>
      </c>
      <c r="C17" s="1" t="s">
        <v>59</v>
      </c>
      <c r="G17" s="8">
        <v>10</v>
      </c>
      <c r="H17" s="8" t="s">
        <v>60</v>
      </c>
      <c r="I17" s="8" t="s">
        <v>37</v>
      </c>
      <c r="J17" s="8" t="s">
        <v>30</v>
      </c>
      <c r="K17" s="8" t="s">
        <v>61</v>
      </c>
      <c r="L17" s="8" t="s">
        <v>31</v>
      </c>
      <c r="Q17" s="13">
        <v>10</v>
      </c>
      <c r="R17" s="13" t="s">
        <v>48</v>
      </c>
      <c r="S17" s="14" t="s">
        <v>49</v>
      </c>
      <c r="T17" s="13">
        <v>0</v>
      </c>
    </row>
    <row r="18" spans="2:25" x14ac:dyDescent="0.3">
      <c r="B18" s="1" t="s">
        <v>62</v>
      </c>
      <c r="C18" s="1" t="s">
        <v>63</v>
      </c>
      <c r="G18" s="8">
        <v>11</v>
      </c>
      <c r="H18" s="8" t="s">
        <v>60</v>
      </c>
      <c r="I18" s="8" t="s">
        <v>37</v>
      </c>
      <c r="J18" s="8" t="s">
        <v>35</v>
      </c>
      <c r="K18" s="8" t="s">
        <v>61</v>
      </c>
      <c r="L18" s="8" t="s">
        <v>36</v>
      </c>
      <c r="Q18" s="13">
        <v>11</v>
      </c>
      <c r="R18" s="13" t="s">
        <v>28</v>
      </c>
      <c r="S18" s="14" t="s">
        <v>29</v>
      </c>
      <c r="T18" s="13">
        <v>1</v>
      </c>
    </row>
    <row r="19" spans="2:25" ht="28.8" x14ac:dyDescent="0.3">
      <c r="B19" s="1" t="s">
        <v>64</v>
      </c>
      <c r="C19" s="1" t="s">
        <v>65</v>
      </c>
      <c r="G19" s="8">
        <v>12</v>
      </c>
      <c r="H19" s="8" t="s">
        <v>66</v>
      </c>
      <c r="I19" s="8" t="s">
        <v>41</v>
      </c>
      <c r="J19" s="8" t="s">
        <v>44</v>
      </c>
      <c r="K19" s="8" t="s">
        <v>42</v>
      </c>
      <c r="L19" s="8" t="s">
        <v>45</v>
      </c>
      <c r="Q19" s="13">
        <v>12</v>
      </c>
      <c r="R19" s="13" t="s">
        <v>67</v>
      </c>
      <c r="S19" s="14" t="s">
        <v>68</v>
      </c>
      <c r="T19" s="13">
        <v>0</v>
      </c>
    </row>
    <row r="20" spans="2:25" x14ac:dyDescent="0.3">
      <c r="B20" s="1" t="s">
        <v>69</v>
      </c>
      <c r="C20" s="1" t="s">
        <v>70</v>
      </c>
      <c r="G20" s="8">
        <v>13</v>
      </c>
      <c r="H20" s="8" t="s">
        <v>66</v>
      </c>
      <c r="I20" s="8" t="s">
        <v>41</v>
      </c>
      <c r="J20" s="8" t="s">
        <v>67</v>
      </c>
      <c r="K20" s="8" t="s">
        <v>42</v>
      </c>
      <c r="L20" s="8" t="s">
        <v>68</v>
      </c>
    </row>
    <row r="21" spans="2:25" x14ac:dyDescent="0.3">
      <c r="G21" s="8">
        <v>14</v>
      </c>
      <c r="H21" s="8" t="s">
        <v>71</v>
      </c>
      <c r="I21" s="8" t="s">
        <v>46</v>
      </c>
      <c r="J21" s="8" t="s">
        <v>50</v>
      </c>
      <c r="K21" s="8" t="s">
        <v>72</v>
      </c>
      <c r="L21" s="8" t="s">
        <v>51</v>
      </c>
    </row>
    <row r="22" spans="2:25" x14ac:dyDescent="0.3">
      <c r="G22" s="8">
        <v>15</v>
      </c>
      <c r="H22" s="8" t="s">
        <v>71</v>
      </c>
      <c r="I22" s="8" t="s">
        <v>46</v>
      </c>
      <c r="J22" s="8" t="s">
        <v>67</v>
      </c>
      <c r="K22" s="8" t="s">
        <v>72</v>
      </c>
      <c r="L22" s="8" t="s">
        <v>68</v>
      </c>
    </row>
    <row r="23" spans="2:25" x14ac:dyDescent="0.3">
      <c r="G23" s="8">
        <v>16</v>
      </c>
      <c r="H23" s="8" t="s">
        <v>73</v>
      </c>
      <c r="I23" s="8" t="s">
        <v>52</v>
      </c>
      <c r="J23" s="8" t="s">
        <v>30</v>
      </c>
      <c r="K23" s="8" t="s">
        <v>53</v>
      </c>
      <c r="L23" s="8" t="s">
        <v>31</v>
      </c>
      <c r="Q23" s="26" t="s">
        <v>74</v>
      </c>
      <c r="R23" s="27"/>
      <c r="S23" s="27"/>
      <c r="T23" s="27"/>
      <c r="U23" s="27"/>
      <c r="V23" s="27"/>
    </row>
    <row r="24" spans="2:25" ht="25.65" customHeight="1" x14ac:dyDescent="0.3">
      <c r="G24" s="8">
        <v>17</v>
      </c>
      <c r="H24" s="8" t="s">
        <v>73</v>
      </c>
      <c r="I24" s="8" t="s">
        <v>52</v>
      </c>
      <c r="J24" s="8" t="s">
        <v>55</v>
      </c>
      <c r="K24" s="8" t="s">
        <v>53</v>
      </c>
      <c r="L24" s="8" t="s">
        <v>56</v>
      </c>
      <c r="Q24" s="19" t="s">
        <v>75</v>
      </c>
      <c r="R24" s="10" t="s">
        <v>7</v>
      </c>
      <c r="S24" s="10" t="s">
        <v>76</v>
      </c>
      <c r="T24" s="10" t="s">
        <v>77</v>
      </c>
      <c r="U24" s="10" t="s">
        <v>78</v>
      </c>
      <c r="V24" s="10" t="s">
        <v>79</v>
      </c>
      <c r="W24" s="10" t="s">
        <v>80</v>
      </c>
      <c r="X24" s="10" t="s">
        <v>81</v>
      </c>
      <c r="Y24" s="10" t="s">
        <v>82</v>
      </c>
    </row>
    <row r="25" spans="2:25" x14ac:dyDescent="0.3">
      <c r="G25" s="8">
        <v>18</v>
      </c>
      <c r="H25" s="8" t="s">
        <v>83</v>
      </c>
      <c r="I25" s="8" t="s">
        <v>84</v>
      </c>
      <c r="J25" s="8" t="s">
        <v>17</v>
      </c>
      <c r="K25" s="8" t="s">
        <v>57</v>
      </c>
      <c r="L25" s="8" t="s">
        <v>19</v>
      </c>
      <c r="Q25" s="18" t="s">
        <v>16</v>
      </c>
      <c r="R25" s="18" t="str">
        <f t="shared" ref="R25:R44" si="0">VLOOKUP(Q25,$B$47:$E$66,3,FALSE)</f>
        <v>M01</v>
      </c>
      <c r="S25" s="18" t="str">
        <f t="shared" ref="S25:S44" si="1">VLOOKUP(R25,$B$8:$C$20,2,FALSE)</f>
        <v>Pomodoro</v>
      </c>
      <c r="T25" s="18">
        <f t="shared" ref="T25:T44" si="2">COUNTIF($T$8:$T$19,1)</f>
        <v>3</v>
      </c>
      <c r="U25" s="20">
        <f t="shared" ref="U25:U44" si="3">COUNTIF($H$8:$H$58,Q25)</f>
        <v>3</v>
      </c>
      <c r="V25" s="19">
        <f t="shared" ref="V25:V44" si="4">COUNTIFS($H$8:$H$58,Q25,$J$8:$J$58,$R$8)*$T$8+COUNTIFS($H$8:$H$58,Q25,$J$8:$J$58,$R$9)*$T$9+COUNTIFS($H$8:$H$58,Q25,$J$8:$J$58,$R$10)*$T$10+COUNTIFS($H$8:$H$58,Q25,$J$8:$J$58,$R$11)*$T$11+COUNTIFS($H$8:$H$58,Q25,$J$8:$J$58,$R$12)*$T$12+COUNTIFS($H$8:$H$58,Q25,$J$8:$J$58,$R$13)*$T$13+COUNTIFS($H$8:$H$58,Q25,$J$8:$J$58,$R$14)*$T$14+COUNTIFS($H$8:$H$58,Q25,$J$8:$J$58,$R$15)*$T$15+COUNTIFS($H$8:$H$58,Q25,$J$8:$J$58,$R$16)*$T$16+COUNTIFS($H$8:$H$58,Q25,$J$8:$J$58,$R$17)*$T$17+COUNTIFS($H$8:$H$58,Q25,$J$8:$J$58,$R$18)*$T$18+COUNTIFS($H$8:$H$58,Q25,$J$8:$J$58,$R$19)*$T$19</f>
        <v>2</v>
      </c>
      <c r="W25" s="18">
        <f t="shared" ref="W25:W44" si="5">MAX(T25,U25)</f>
        <v>3</v>
      </c>
      <c r="X25" s="20">
        <f t="shared" ref="X25:X44" si="6">IF(W25=0,0,V25/W25)</f>
        <v>0.66666666666666663</v>
      </c>
      <c r="Y25" s="18">
        <f t="shared" ref="Y25:Y44" si="7">_xlfn.RANK.EQ(X25,$X$25:$X$44,0)</f>
        <v>2</v>
      </c>
    </row>
    <row r="26" spans="2:25" x14ac:dyDescent="0.3">
      <c r="C26" s="23" t="s">
        <v>85</v>
      </c>
      <c r="D26" s="24"/>
      <c r="G26" s="8">
        <v>19</v>
      </c>
      <c r="H26" s="8" t="s">
        <v>83</v>
      </c>
      <c r="I26" s="8" t="s">
        <v>84</v>
      </c>
      <c r="J26" s="8" t="s">
        <v>24</v>
      </c>
      <c r="K26" s="8" t="s">
        <v>57</v>
      </c>
      <c r="L26" s="8" t="s">
        <v>25</v>
      </c>
      <c r="Q26" s="18" t="s">
        <v>34</v>
      </c>
      <c r="R26" s="18" t="str">
        <f t="shared" si="0"/>
        <v>M02</v>
      </c>
      <c r="S26" s="18" t="str">
        <f t="shared" si="1"/>
        <v>Active Recall</v>
      </c>
      <c r="T26" s="18">
        <f t="shared" si="2"/>
        <v>3</v>
      </c>
      <c r="U26" s="20">
        <f t="shared" si="3"/>
        <v>2</v>
      </c>
      <c r="V26" s="19">
        <f t="shared" si="4"/>
        <v>1</v>
      </c>
      <c r="W26" s="18">
        <f t="shared" si="5"/>
        <v>3</v>
      </c>
      <c r="X26" s="20">
        <f t="shared" si="6"/>
        <v>0.33333333333333331</v>
      </c>
      <c r="Y26" s="18">
        <f t="shared" si="7"/>
        <v>4</v>
      </c>
    </row>
    <row r="27" spans="2:25" x14ac:dyDescent="0.3">
      <c r="B27" s="3" t="s">
        <v>4</v>
      </c>
      <c r="C27" s="3" t="s">
        <v>86</v>
      </c>
      <c r="G27" s="8">
        <v>20</v>
      </c>
      <c r="H27" s="8" t="s">
        <v>83</v>
      </c>
      <c r="I27" s="8" t="s">
        <v>84</v>
      </c>
      <c r="J27" s="8" t="s">
        <v>28</v>
      </c>
      <c r="K27" s="8" t="s">
        <v>57</v>
      </c>
      <c r="L27" s="8" t="s">
        <v>29</v>
      </c>
      <c r="Q27" s="18" t="s">
        <v>43</v>
      </c>
      <c r="R27" s="18" t="str">
        <f t="shared" si="0"/>
        <v>M03</v>
      </c>
      <c r="S27" s="18" t="str">
        <f t="shared" si="1"/>
        <v>Spaced Repetition</v>
      </c>
      <c r="T27" s="18">
        <f t="shared" si="2"/>
        <v>3</v>
      </c>
      <c r="U27" s="20">
        <f t="shared" si="3"/>
        <v>2</v>
      </c>
      <c r="V27" s="19">
        <f t="shared" si="4"/>
        <v>1</v>
      </c>
      <c r="W27" s="18">
        <f t="shared" si="5"/>
        <v>3</v>
      </c>
      <c r="X27" s="20">
        <f t="shared" si="6"/>
        <v>0.33333333333333331</v>
      </c>
      <c r="Y27" s="18">
        <f t="shared" si="7"/>
        <v>4</v>
      </c>
    </row>
    <row r="28" spans="2:25" x14ac:dyDescent="0.3">
      <c r="B28" s="2" t="s">
        <v>17</v>
      </c>
      <c r="C28" s="2" t="s">
        <v>87</v>
      </c>
      <c r="G28" s="8">
        <v>21</v>
      </c>
      <c r="H28" s="8" t="s">
        <v>88</v>
      </c>
      <c r="I28" s="8" t="s">
        <v>58</v>
      </c>
      <c r="J28" s="8" t="s">
        <v>24</v>
      </c>
      <c r="K28" s="8" t="s">
        <v>59</v>
      </c>
      <c r="L28" s="8" t="s">
        <v>25</v>
      </c>
      <c r="Q28" s="18" t="s">
        <v>54</v>
      </c>
      <c r="R28" s="18" t="str">
        <f t="shared" si="0"/>
        <v>M04</v>
      </c>
      <c r="S28" s="18" t="str">
        <f t="shared" si="1"/>
        <v>Feynman Technique</v>
      </c>
      <c r="T28" s="18">
        <f t="shared" si="2"/>
        <v>3</v>
      </c>
      <c r="U28" s="21">
        <f t="shared" si="3"/>
        <v>2</v>
      </c>
      <c r="V28" s="19">
        <f t="shared" si="4"/>
        <v>0</v>
      </c>
      <c r="W28" s="18">
        <f t="shared" si="5"/>
        <v>3</v>
      </c>
      <c r="X28" s="20">
        <f t="shared" si="6"/>
        <v>0</v>
      </c>
      <c r="Y28" s="18">
        <f t="shared" si="7"/>
        <v>11</v>
      </c>
    </row>
    <row r="29" spans="2:25" x14ac:dyDescent="0.3">
      <c r="B29" s="2" t="s">
        <v>24</v>
      </c>
      <c r="C29" s="2" t="s">
        <v>89</v>
      </c>
      <c r="G29" s="8">
        <v>22</v>
      </c>
      <c r="H29" s="8" t="s">
        <v>88</v>
      </c>
      <c r="I29" s="8" t="s">
        <v>58</v>
      </c>
      <c r="J29" s="8" t="s">
        <v>44</v>
      </c>
      <c r="K29" s="8" t="s">
        <v>59</v>
      </c>
      <c r="L29" s="8" t="s">
        <v>45</v>
      </c>
      <c r="Q29" s="18" t="s">
        <v>60</v>
      </c>
      <c r="R29" s="18" t="str">
        <f t="shared" si="0"/>
        <v>M05</v>
      </c>
      <c r="S29" s="18" t="str">
        <f t="shared" si="1"/>
        <v xml:space="preserve">Mind Mapping </v>
      </c>
      <c r="T29" s="18">
        <f t="shared" si="2"/>
        <v>3</v>
      </c>
      <c r="U29" s="21">
        <f t="shared" si="3"/>
        <v>2</v>
      </c>
      <c r="V29" s="19">
        <f t="shared" si="4"/>
        <v>0</v>
      </c>
      <c r="W29" s="18">
        <f t="shared" si="5"/>
        <v>3</v>
      </c>
      <c r="X29" s="20">
        <f t="shared" si="6"/>
        <v>0</v>
      </c>
      <c r="Y29" s="18">
        <f t="shared" si="7"/>
        <v>11</v>
      </c>
    </row>
    <row r="30" spans="2:25" x14ac:dyDescent="0.3">
      <c r="B30" s="2" t="s">
        <v>30</v>
      </c>
      <c r="C30" s="2" t="s">
        <v>90</v>
      </c>
      <c r="G30" s="8">
        <v>23</v>
      </c>
      <c r="H30" s="8" t="s">
        <v>88</v>
      </c>
      <c r="I30" s="8" t="s">
        <v>58</v>
      </c>
      <c r="J30" s="8" t="s">
        <v>48</v>
      </c>
      <c r="K30" s="8" t="s">
        <v>59</v>
      </c>
      <c r="L30" s="8" t="s">
        <v>49</v>
      </c>
      <c r="Q30" s="18" t="s">
        <v>66</v>
      </c>
      <c r="R30" s="18" t="str">
        <f t="shared" si="0"/>
        <v>M06</v>
      </c>
      <c r="S30" s="18" t="str">
        <f t="shared" si="1"/>
        <v>Practice Testing</v>
      </c>
      <c r="T30" s="18">
        <f t="shared" si="2"/>
        <v>3</v>
      </c>
      <c r="U30" s="21">
        <f t="shared" si="3"/>
        <v>2</v>
      </c>
      <c r="V30" s="19">
        <f t="shared" si="4"/>
        <v>0</v>
      </c>
      <c r="W30" s="18">
        <f t="shared" si="5"/>
        <v>3</v>
      </c>
      <c r="X30" s="20">
        <f t="shared" si="6"/>
        <v>0</v>
      </c>
      <c r="Y30" s="18">
        <f t="shared" si="7"/>
        <v>11</v>
      </c>
    </row>
    <row r="31" spans="2:25" x14ac:dyDescent="0.3">
      <c r="B31" s="2" t="s">
        <v>35</v>
      </c>
      <c r="C31" s="2" t="s">
        <v>139</v>
      </c>
      <c r="G31" s="8">
        <v>24</v>
      </c>
      <c r="H31" s="8" t="s">
        <v>91</v>
      </c>
      <c r="I31" s="8" t="s">
        <v>14</v>
      </c>
      <c r="J31" s="8" t="s">
        <v>17</v>
      </c>
      <c r="K31" s="8" t="s">
        <v>18</v>
      </c>
      <c r="L31" s="8" t="s">
        <v>19</v>
      </c>
      <c r="Q31" s="18" t="s">
        <v>71</v>
      </c>
      <c r="R31" s="18" t="str">
        <f t="shared" si="0"/>
        <v>M07</v>
      </c>
      <c r="S31" s="18" t="str">
        <f t="shared" si="1"/>
        <v xml:space="preserve">Interleaving </v>
      </c>
      <c r="T31" s="18">
        <f t="shared" si="2"/>
        <v>3</v>
      </c>
      <c r="U31" s="21">
        <f t="shared" si="3"/>
        <v>2</v>
      </c>
      <c r="V31" s="19">
        <f t="shared" si="4"/>
        <v>0</v>
      </c>
      <c r="W31" s="18">
        <f t="shared" si="5"/>
        <v>3</v>
      </c>
      <c r="X31" s="20">
        <f t="shared" si="6"/>
        <v>0</v>
      </c>
      <c r="Y31" s="18">
        <f t="shared" si="7"/>
        <v>11</v>
      </c>
    </row>
    <row r="32" spans="2:25" x14ac:dyDescent="0.3">
      <c r="B32" s="2" t="s">
        <v>22</v>
      </c>
      <c r="C32" s="2" t="s">
        <v>92</v>
      </c>
      <c r="G32" s="8">
        <v>25</v>
      </c>
      <c r="H32" s="8" t="s">
        <v>91</v>
      </c>
      <c r="I32" s="8" t="s">
        <v>14</v>
      </c>
      <c r="J32" s="8" t="s">
        <v>22</v>
      </c>
      <c r="K32" s="8" t="s">
        <v>18</v>
      </c>
      <c r="L32" s="8" t="s">
        <v>23</v>
      </c>
      <c r="Q32" s="18" t="s">
        <v>73</v>
      </c>
      <c r="R32" s="18" t="str">
        <f t="shared" si="0"/>
        <v>M08</v>
      </c>
      <c r="S32" s="18" t="str">
        <f t="shared" si="1"/>
        <v>Collaborative Learning</v>
      </c>
      <c r="T32" s="18">
        <f t="shared" si="2"/>
        <v>3</v>
      </c>
      <c r="U32" s="21">
        <f t="shared" si="3"/>
        <v>2</v>
      </c>
      <c r="V32" s="19">
        <f t="shared" si="4"/>
        <v>0</v>
      </c>
      <c r="W32" s="18">
        <f t="shared" si="5"/>
        <v>3</v>
      </c>
      <c r="X32" s="20">
        <f t="shared" si="6"/>
        <v>0</v>
      </c>
      <c r="Y32" s="18">
        <f t="shared" si="7"/>
        <v>11</v>
      </c>
    </row>
    <row r="33" spans="2:25" x14ac:dyDescent="0.3">
      <c r="B33" s="2" t="s">
        <v>44</v>
      </c>
      <c r="C33" s="2" t="s">
        <v>93</v>
      </c>
      <c r="G33" s="8">
        <v>26</v>
      </c>
      <c r="H33" s="8" t="s">
        <v>94</v>
      </c>
      <c r="I33" s="8" t="s">
        <v>20</v>
      </c>
      <c r="J33" s="8" t="s">
        <v>24</v>
      </c>
      <c r="K33" s="8" t="s">
        <v>21</v>
      </c>
      <c r="L33" s="8" t="s">
        <v>25</v>
      </c>
      <c r="Q33" s="18" t="s">
        <v>83</v>
      </c>
      <c r="R33" s="18" t="str">
        <f t="shared" si="0"/>
        <v>M09</v>
      </c>
      <c r="S33" s="18" t="str">
        <f t="shared" si="1"/>
        <v>Pomodoro + Active Recall</v>
      </c>
      <c r="T33" s="18">
        <f t="shared" si="2"/>
        <v>3</v>
      </c>
      <c r="U33" s="21">
        <f t="shared" si="3"/>
        <v>3</v>
      </c>
      <c r="V33" s="19">
        <f t="shared" si="4"/>
        <v>3</v>
      </c>
      <c r="W33" s="18">
        <f t="shared" si="5"/>
        <v>3</v>
      </c>
      <c r="X33" s="20">
        <f t="shared" si="6"/>
        <v>1</v>
      </c>
      <c r="Y33" s="18">
        <f t="shared" si="7"/>
        <v>1</v>
      </c>
    </row>
    <row r="34" spans="2:25" ht="28.8" x14ac:dyDescent="0.3">
      <c r="B34" s="2" t="s">
        <v>50</v>
      </c>
      <c r="C34" s="2" t="s">
        <v>95</v>
      </c>
      <c r="G34" s="8">
        <v>27</v>
      </c>
      <c r="H34" s="8" t="s">
        <v>94</v>
      </c>
      <c r="I34" s="8" t="s">
        <v>20</v>
      </c>
      <c r="J34" s="8" t="s">
        <v>44</v>
      </c>
      <c r="K34" s="8" t="s">
        <v>21</v>
      </c>
      <c r="L34" s="8" t="s">
        <v>45</v>
      </c>
      <c r="Q34" s="18" t="s">
        <v>88</v>
      </c>
      <c r="R34" s="18" t="str">
        <f t="shared" si="0"/>
        <v>M10</v>
      </c>
      <c r="S34" s="18" t="str">
        <f t="shared" si="1"/>
        <v>Spaced Repetition + Practice Testing</v>
      </c>
      <c r="T34" s="18">
        <f t="shared" si="2"/>
        <v>3</v>
      </c>
      <c r="U34" s="20">
        <f t="shared" si="3"/>
        <v>3</v>
      </c>
      <c r="V34" s="19">
        <f t="shared" si="4"/>
        <v>1</v>
      </c>
      <c r="W34" s="18">
        <f t="shared" si="5"/>
        <v>3</v>
      </c>
      <c r="X34" s="20">
        <f t="shared" si="6"/>
        <v>0.33333333333333331</v>
      </c>
      <c r="Y34" s="18">
        <f t="shared" si="7"/>
        <v>4</v>
      </c>
    </row>
    <row r="35" spans="2:25" x14ac:dyDescent="0.3">
      <c r="B35" s="2" t="s">
        <v>55</v>
      </c>
      <c r="C35" s="2" t="s">
        <v>96</v>
      </c>
      <c r="G35" s="8">
        <v>28</v>
      </c>
      <c r="H35" s="8" t="s">
        <v>97</v>
      </c>
      <c r="I35" s="8" t="s">
        <v>26</v>
      </c>
      <c r="J35" s="8" t="s">
        <v>24</v>
      </c>
      <c r="K35" s="8" t="s">
        <v>27</v>
      </c>
      <c r="L35" s="8" t="s">
        <v>25</v>
      </c>
      <c r="Q35" s="18" t="s">
        <v>91</v>
      </c>
      <c r="R35" s="18" t="str">
        <f t="shared" si="0"/>
        <v>M01</v>
      </c>
      <c r="S35" s="18" t="str">
        <f t="shared" si="1"/>
        <v>Pomodoro</v>
      </c>
      <c r="T35" s="18">
        <f t="shared" si="2"/>
        <v>3</v>
      </c>
      <c r="U35" s="20">
        <f t="shared" si="3"/>
        <v>2</v>
      </c>
      <c r="V35" s="19">
        <f t="shared" si="4"/>
        <v>1</v>
      </c>
      <c r="W35" s="18">
        <f t="shared" si="5"/>
        <v>3</v>
      </c>
      <c r="X35" s="20">
        <f t="shared" si="6"/>
        <v>0.33333333333333331</v>
      </c>
      <c r="Y35" s="18">
        <f t="shared" si="7"/>
        <v>4</v>
      </c>
    </row>
    <row r="36" spans="2:25" x14ac:dyDescent="0.3">
      <c r="B36" s="2" t="s">
        <v>39</v>
      </c>
      <c r="C36" s="2" t="s">
        <v>98</v>
      </c>
      <c r="G36" s="8">
        <v>29</v>
      </c>
      <c r="H36" s="8" t="s">
        <v>97</v>
      </c>
      <c r="I36" s="8" t="s">
        <v>26</v>
      </c>
      <c r="J36" s="8" t="s">
        <v>22</v>
      </c>
      <c r="K36" s="8" t="s">
        <v>27</v>
      </c>
      <c r="L36" s="8" t="s">
        <v>23</v>
      </c>
      <c r="Q36" s="18" t="s">
        <v>94</v>
      </c>
      <c r="R36" s="18" t="str">
        <f t="shared" si="0"/>
        <v>M02</v>
      </c>
      <c r="S36" s="18" t="str">
        <f t="shared" si="1"/>
        <v>Active Recall</v>
      </c>
      <c r="T36" s="18">
        <f t="shared" si="2"/>
        <v>3</v>
      </c>
      <c r="U36" s="20">
        <f t="shared" si="3"/>
        <v>2</v>
      </c>
      <c r="V36" s="19">
        <f t="shared" si="4"/>
        <v>1</v>
      </c>
      <c r="W36" s="18">
        <f t="shared" si="5"/>
        <v>3</v>
      </c>
      <c r="X36" s="20">
        <f t="shared" si="6"/>
        <v>0.33333333333333331</v>
      </c>
      <c r="Y36" s="18">
        <f t="shared" si="7"/>
        <v>4</v>
      </c>
    </row>
    <row r="37" spans="2:25" x14ac:dyDescent="0.3">
      <c r="B37" s="2" t="s">
        <v>48</v>
      </c>
      <c r="C37" s="2" t="s">
        <v>99</v>
      </c>
      <c r="G37" s="8">
        <v>30</v>
      </c>
      <c r="H37" s="8" t="s">
        <v>97</v>
      </c>
      <c r="I37" s="8" t="s">
        <v>26</v>
      </c>
      <c r="J37" s="8" t="s">
        <v>48</v>
      </c>
      <c r="K37" s="8" t="s">
        <v>27</v>
      </c>
      <c r="L37" s="8" t="s">
        <v>49</v>
      </c>
      <c r="Q37" s="18" t="s">
        <v>97</v>
      </c>
      <c r="R37" s="18" t="str">
        <f t="shared" si="0"/>
        <v>M03</v>
      </c>
      <c r="S37" s="18" t="str">
        <f t="shared" si="1"/>
        <v>Spaced Repetition</v>
      </c>
      <c r="T37" s="18">
        <f t="shared" si="2"/>
        <v>3</v>
      </c>
      <c r="U37" s="20">
        <f t="shared" si="3"/>
        <v>3</v>
      </c>
      <c r="V37" s="19">
        <f t="shared" si="4"/>
        <v>1</v>
      </c>
      <c r="W37" s="18">
        <f t="shared" si="5"/>
        <v>3</v>
      </c>
      <c r="X37" s="20">
        <f t="shared" si="6"/>
        <v>0.33333333333333331</v>
      </c>
      <c r="Y37" s="18">
        <f t="shared" si="7"/>
        <v>4</v>
      </c>
    </row>
    <row r="38" spans="2:25" x14ac:dyDescent="0.3">
      <c r="B38" s="2" t="s">
        <v>28</v>
      </c>
      <c r="C38" s="2" t="s">
        <v>100</v>
      </c>
      <c r="G38" s="8">
        <v>31</v>
      </c>
      <c r="H38" s="8" t="s">
        <v>101</v>
      </c>
      <c r="I38" s="8" t="s">
        <v>32</v>
      </c>
      <c r="J38" s="8" t="s">
        <v>30</v>
      </c>
      <c r="K38" s="8" t="s">
        <v>33</v>
      </c>
      <c r="L38" s="8" t="s">
        <v>31</v>
      </c>
      <c r="Q38" s="18" t="s">
        <v>101</v>
      </c>
      <c r="R38" s="18" t="str">
        <f t="shared" si="0"/>
        <v>M04</v>
      </c>
      <c r="S38" s="18" t="str">
        <f t="shared" si="1"/>
        <v>Feynman Technique</v>
      </c>
      <c r="T38" s="18">
        <f t="shared" si="2"/>
        <v>3</v>
      </c>
      <c r="U38" s="21">
        <f t="shared" si="3"/>
        <v>3</v>
      </c>
      <c r="V38" s="19">
        <f t="shared" si="4"/>
        <v>0</v>
      </c>
      <c r="W38" s="18">
        <f t="shared" si="5"/>
        <v>3</v>
      </c>
      <c r="X38" s="20">
        <f t="shared" si="6"/>
        <v>0</v>
      </c>
      <c r="Y38" s="18">
        <f t="shared" si="7"/>
        <v>11</v>
      </c>
    </row>
    <row r="39" spans="2:25" x14ac:dyDescent="0.3">
      <c r="B39" s="2" t="s">
        <v>67</v>
      </c>
      <c r="C39" s="2" t="s">
        <v>102</v>
      </c>
      <c r="G39" s="8">
        <v>32</v>
      </c>
      <c r="H39" s="8" t="s">
        <v>101</v>
      </c>
      <c r="I39" s="8" t="s">
        <v>32</v>
      </c>
      <c r="J39" s="8" t="s">
        <v>39</v>
      </c>
      <c r="K39" s="8" t="s">
        <v>33</v>
      </c>
      <c r="L39" s="8" t="s">
        <v>40</v>
      </c>
      <c r="Q39" s="18" t="s">
        <v>103</v>
      </c>
      <c r="R39" s="18" t="str">
        <f t="shared" si="0"/>
        <v>M05</v>
      </c>
      <c r="S39" s="18" t="str">
        <f t="shared" si="1"/>
        <v xml:space="preserve">Mind Mapping </v>
      </c>
      <c r="T39" s="18">
        <f t="shared" si="2"/>
        <v>3</v>
      </c>
      <c r="U39" s="21">
        <f t="shared" si="3"/>
        <v>3</v>
      </c>
      <c r="V39" s="19">
        <f t="shared" si="4"/>
        <v>0</v>
      </c>
      <c r="W39" s="18">
        <f t="shared" si="5"/>
        <v>3</v>
      </c>
      <c r="X39" s="20">
        <f t="shared" si="6"/>
        <v>0</v>
      </c>
      <c r="Y39" s="18">
        <f t="shared" si="7"/>
        <v>11</v>
      </c>
    </row>
    <row r="40" spans="2:25" x14ac:dyDescent="0.3">
      <c r="G40" s="8">
        <v>33</v>
      </c>
      <c r="H40" s="8" t="s">
        <v>101</v>
      </c>
      <c r="I40" s="8" t="s">
        <v>32</v>
      </c>
      <c r="J40" s="8" t="s">
        <v>67</v>
      </c>
      <c r="K40" s="8" t="s">
        <v>33</v>
      </c>
      <c r="L40" s="8" t="s">
        <v>68</v>
      </c>
      <c r="Q40" s="18" t="s">
        <v>104</v>
      </c>
      <c r="R40" s="18" t="str">
        <f t="shared" si="0"/>
        <v>M06</v>
      </c>
      <c r="S40" s="18" t="str">
        <f t="shared" si="1"/>
        <v>Practice Testing</v>
      </c>
      <c r="T40" s="18">
        <f t="shared" si="2"/>
        <v>3</v>
      </c>
      <c r="U40" s="21">
        <f t="shared" si="3"/>
        <v>3</v>
      </c>
      <c r="V40" s="19">
        <f t="shared" si="4"/>
        <v>0</v>
      </c>
      <c r="W40" s="18">
        <f t="shared" si="5"/>
        <v>3</v>
      </c>
      <c r="X40" s="20">
        <f t="shared" si="6"/>
        <v>0</v>
      </c>
      <c r="Y40" s="18">
        <f t="shared" si="7"/>
        <v>11</v>
      </c>
    </row>
    <row r="41" spans="2:25" x14ac:dyDescent="0.3">
      <c r="G41" s="8">
        <v>34</v>
      </c>
      <c r="H41" s="8" t="s">
        <v>103</v>
      </c>
      <c r="I41" s="8" t="s">
        <v>37</v>
      </c>
      <c r="J41" s="8" t="s">
        <v>30</v>
      </c>
      <c r="K41" s="8" t="s">
        <v>61</v>
      </c>
      <c r="L41" s="8" t="s">
        <v>31</v>
      </c>
      <c r="Q41" s="18" t="s">
        <v>105</v>
      </c>
      <c r="R41" s="18" t="str">
        <f t="shared" si="0"/>
        <v>M11</v>
      </c>
      <c r="S41" s="18" t="str">
        <f t="shared" si="1"/>
        <v>Active Recall + Practice Testing</v>
      </c>
      <c r="T41" s="18">
        <f t="shared" si="2"/>
        <v>3</v>
      </c>
      <c r="U41" s="20">
        <f t="shared" si="3"/>
        <v>3</v>
      </c>
      <c r="V41" s="19">
        <f t="shared" si="4"/>
        <v>1</v>
      </c>
      <c r="W41" s="18">
        <f t="shared" si="5"/>
        <v>3</v>
      </c>
      <c r="X41" s="20">
        <f t="shared" si="6"/>
        <v>0.33333333333333331</v>
      </c>
      <c r="Y41" s="18">
        <f t="shared" si="7"/>
        <v>4</v>
      </c>
    </row>
    <row r="42" spans="2:25" x14ac:dyDescent="0.3">
      <c r="G42" s="8">
        <v>35</v>
      </c>
      <c r="H42" s="8" t="s">
        <v>103</v>
      </c>
      <c r="I42" s="8" t="s">
        <v>37</v>
      </c>
      <c r="J42" s="8" t="s">
        <v>35</v>
      </c>
      <c r="K42" s="8" t="s">
        <v>61</v>
      </c>
      <c r="L42" s="8" t="s">
        <v>36</v>
      </c>
      <c r="Q42" s="18" t="s">
        <v>106</v>
      </c>
      <c r="R42" s="18" t="str">
        <f t="shared" si="0"/>
        <v>M12</v>
      </c>
      <c r="S42" s="18" t="str">
        <f t="shared" si="1"/>
        <v>Pomodoro + Spaced Repetition</v>
      </c>
      <c r="T42" s="18">
        <f t="shared" si="2"/>
        <v>3</v>
      </c>
      <c r="U42" s="20">
        <f t="shared" si="3"/>
        <v>3</v>
      </c>
      <c r="V42" s="19">
        <f t="shared" si="4"/>
        <v>2</v>
      </c>
      <c r="W42" s="18">
        <f t="shared" si="5"/>
        <v>3</v>
      </c>
      <c r="X42" s="20">
        <f t="shared" si="6"/>
        <v>0.66666666666666663</v>
      </c>
      <c r="Y42" s="18">
        <f t="shared" si="7"/>
        <v>2</v>
      </c>
    </row>
    <row r="43" spans="2:25" ht="28.8" x14ac:dyDescent="0.3">
      <c r="G43" s="8">
        <v>36</v>
      </c>
      <c r="H43" s="8" t="s">
        <v>103</v>
      </c>
      <c r="I43" s="8" t="s">
        <v>37</v>
      </c>
      <c r="J43" s="8" t="s">
        <v>22</v>
      </c>
      <c r="K43" s="8" t="s">
        <v>61</v>
      </c>
      <c r="L43" s="8" t="s">
        <v>23</v>
      </c>
      <c r="Q43" s="18" t="s">
        <v>107</v>
      </c>
      <c r="R43" s="18" t="str">
        <f t="shared" si="0"/>
        <v>M13</v>
      </c>
      <c r="S43" s="18" t="str">
        <f t="shared" si="1"/>
        <v xml:space="preserve">Feynman Technique + Mind Mapping </v>
      </c>
      <c r="T43" s="18">
        <f t="shared" si="2"/>
        <v>3</v>
      </c>
      <c r="U43" s="21">
        <f t="shared" si="3"/>
        <v>3</v>
      </c>
      <c r="V43" s="19">
        <f t="shared" si="4"/>
        <v>0</v>
      </c>
      <c r="W43" s="18">
        <f t="shared" si="5"/>
        <v>3</v>
      </c>
      <c r="X43" s="20">
        <f t="shared" si="6"/>
        <v>0</v>
      </c>
      <c r="Y43" s="18">
        <f t="shared" si="7"/>
        <v>11</v>
      </c>
    </row>
    <row r="44" spans="2:25" x14ac:dyDescent="0.3">
      <c r="G44" s="8">
        <v>37</v>
      </c>
      <c r="H44" s="8" t="s">
        <v>104</v>
      </c>
      <c r="I44" s="8" t="s">
        <v>41</v>
      </c>
      <c r="J44" s="8" t="s">
        <v>44</v>
      </c>
      <c r="K44" s="8" t="s">
        <v>42</v>
      </c>
      <c r="L44" s="8" t="s">
        <v>45</v>
      </c>
      <c r="Q44" s="18" t="s">
        <v>108</v>
      </c>
      <c r="R44" s="18" t="str">
        <f t="shared" si="0"/>
        <v>M08</v>
      </c>
      <c r="S44" s="18" t="str">
        <f t="shared" si="1"/>
        <v>Collaborative Learning</v>
      </c>
      <c r="T44" s="18">
        <f t="shared" si="2"/>
        <v>3</v>
      </c>
      <c r="U44" s="21">
        <f t="shared" si="3"/>
        <v>3</v>
      </c>
      <c r="V44" s="19">
        <f t="shared" si="4"/>
        <v>0</v>
      </c>
      <c r="W44" s="18">
        <f t="shared" si="5"/>
        <v>3</v>
      </c>
      <c r="X44" s="20">
        <f t="shared" si="6"/>
        <v>0</v>
      </c>
      <c r="Y44" s="18">
        <f t="shared" si="7"/>
        <v>11</v>
      </c>
    </row>
    <row r="45" spans="2:25" x14ac:dyDescent="0.3">
      <c r="B45" s="23" t="s">
        <v>109</v>
      </c>
      <c r="C45" s="24"/>
      <c r="D45" s="24"/>
      <c r="E45" s="24"/>
      <c r="G45" s="8">
        <v>38</v>
      </c>
      <c r="H45" s="8" t="s">
        <v>104</v>
      </c>
      <c r="I45" s="8" t="s">
        <v>41</v>
      </c>
      <c r="J45" s="8" t="s">
        <v>48</v>
      </c>
      <c r="K45" s="8" t="s">
        <v>42</v>
      </c>
      <c r="L45" s="8" t="s">
        <v>49</v>
      </c>
    </row>
    <row r="46" spans="2:25" x14ac:dyDescent="0.3">
      <c r="B46" s="5" t="s">
        <v>6</v>
      </c>
      <c r="C46" s="5" t="s">
        <v>8</v>
      </c>
      <c r="D46" s="5" t="s">
        <v>7</v>
      </c>
      <c r="E46" s="5" t="s">
        <v>110</v>
      </c>
      <c r="G46" s="8">
        <v>39</v>
      </c>
      <c r="H46" s="8" t="s">
        <v>104</v>
      </c>
      <c r="I46" s="8" t="s">
        <v>41</v>
      </c>
      <c r="J46" s="8" t="s">
        <v>67</v>
      </c>
      <c r="K46" s="8" t="s">
        <v>42</v>
      </c>
      <c r="L46" s="8" t="s">
        <v>68</v>
      </c>
    </row>
    <row r="47" spans="2:25" x14ac:dyDescent="0.3">
      <c r="B47" s="6" t="s">
        <v>16</v>
      </c>
      <c r="C47" s="6" t="s">
        <v>111</v>
      </c>
      <c r="D47" s="6" t="s">
        <v>14</v>
      </c>
      <c r="E47" s="6" t="s">
        <v>15</v>
      </c>
      <c r="G47" s="8">
        <v>40</v>
      </c>
      <c r="H47" s="8" t="s">
        <v>105</v>
      </c>
      <c r="I47" s="8" t="s">
        <v>62</v>
      </c>
      <c r="J47" s="8" t="s">
        <v>24</v>
      </c>
      <c r="K47" s="8" t="s">
        <v>63</v>
      </c>
      <c r="L47" s="8" t="s">
        <v>25</v>
      </c>
      <c r="Q47" s="11" t="s">
        <v>130</v>
      </c>
      <c r="R47" s="11"/>
      <c r="S47" s="11"/>
    </row>
    <row r="48" spans="2:25" x14ac:dyDescent="0.3">
      <c r="B48" s="6" t="s">
        <v>34</v>
      </c>
      <c r="C48" s="6" t="s">
        <v>112</v>
      </c>
      <c r="D48" s="6" t="s">
        <v>20</v>
      </c>
      <c r="E48" s="6" t="s">
        <v>21</v>
      </c>
      <c r="G48" s="8">
        <v>41</v>
      </c>
      <c r="H48" s="8" t="s">
        <v>105</v>
      </c>
      <c r="I48" s="8" t="s">
        <v>62</v>
      </c>
      <c r="J48" s="8" t="s">
        <v>44</v>
      </c>
      <c r="K48" s="8" t="s">
        <v>63</v>
      </c>
      <c r="L48" s="8" t="s">
        <v>45</v>
      </c>
      <c r="Q48" t="s">
        <v>131</v>
      </c>
      <c r="R48" t="str">
        <f>INDEX(Q25:Q44,MATCH(MAX(X25:X44),X25:X44,0))</f>
        <v>K09</v>
      </c>
    </row>
    <row r="49" spans="2:18" ht="28.8" x14ac:dyDescent="0.3">
      <c r="B49" s="6" t="s">
        <v>43</v>
      </c>
      <c r="C49" s="6" t="s">
        <v>113</v>
      </c>
      <c r="D49" s="6" t="s">
        <v>26</v>
      </c>
      <c r="E49" s="6" t="s">
        <v>27</v>
      </c>
      <c r="G49" s="8">
        <v>42</v>
      </c>
      <c r="H49" s="8" t="s">
        <v>105</v>
      </c>
      <c r="I49" s="8" t="s">
        <v>62</v>
      </c>
      <c r="J49" s="8" t="s">
        <v>67</v>
      </c>
      <c r="K49" s="8" t="s">
        <v>63</v>
      </c>
      <c r="L49" s="8" t="s">
        <v>68</v>
      </c>
      <c r="Q49" t="s">
        <v>132</v>
      </c>
      <c r="R49" s="12" t="str">
        <f>INDEX(S25:S44,MATCH(MAX(X25:X44),X25:X44,0))</f>
        <v>Pomodoro + Active Recall</v>
      </c>
    </row>
    <row r="50" spans="2:18" x14ac:dyDescent="0.3">
      <c r="B50" s="6" t="s">
        <v>54</v>
      </c>
      <c r="C50" s="6" t="s">
        <v>114</v>
      </c>
      <c r="D50" s="6" t="s">
        <v>32</v>
      </c>
      <c r="E50" s="6" t="s">
        <v>33</v>
      </c>
      <c r="G50" s="8">
        <v>43</v>
      </c>
      <c r="H50" s="8" t="s">
        <v>106</v>
      </c>
      <c r="I50" s="8" t="s">
        <v>64</v>
      </c>
      <c r="J50" s="8" t="s">
        <v>17</v>
      </c>
      <c r="K50" s="8" t="s">
        <v>65</v>
      </c>
      <c r="L50" s="8" t="s">
        <v>19</v>
      </c>
      <c r="Q50" t="s">
        <v>133</v>
      </c>
      <c r="R50" s="9">
        <f>MAX(X25:X44)</f>
        <v>1</v>
      </c>
    </row>
    <row r="51" spans="2:18" x14ac:dyDescent="0.3">
      <c r="B51" s="6" t="s">
        <v>60</v>
      </c>
      <c r="C51" s="6" t="s">
        <v>115</v>
      </c>
      <c r="D51" s="6" t="s">
        <v>37</v>
      </c>
      <c r="E51" s="6" t="s">
        <v>61</v>
      </c>
      <c r="G51" s="8">
        <v>44</v>
      </c>
      <c r="H51" s="8" t="s">
        <v>106</v>
      </c>
      <c r="I51" s="8" t="s">
        <v>64</v>
      </c>
      <c r="J51" s="8" t="s">
        <v>24</v>
      </c>
      <c r="K51" s="8" t="s">
        <v>65</v>
      </c>
      <c r="L51" s="8" t="s">
        <v>25</v>
      </c>
    </row>
    <row r="52" spans="2:18" x14ac:dyDescent="0.3">
      <c r="B52" s="6" t="s">
        <v>66</v>
      </c>
      <c r="C52" s="6" t="s">
        <v>116</v>
      </c>
      <c r="D52" s="6" t="s">
        <v>41</v>
      </c>
      <c r="E52" s="6" t="s">
        <v>42</v>
      </c>
      <c r="G52" s="8">
        <v>45</v>
      </c>
      <c r="H52" s="8" t="s">
        <v>106</v>
      </c>
      <c r="I52" s="8" t="s">
        <v>64</v>
      </c>
      <c r="J52" s="8" t="s">
        <v>48</v>
      </c>
      <c r="K52" s="8" t="s">
        <v>65</v>
      </c>
      <c r="L52" s="8" t="s">
        <v>49</v>
      </c>
    </row>
    <row r="53" spans="2:18" x14ac:dyDescent="0.3">
      <c r="B53" s="6" t="s">
        <v>71</v>
      </c>
      <c r="C53" s="6" t="s">
        <v>117</v>
      </c>
      <c r="D53" s="6" t="s">
        <v>46</v>
      </c>
      <c r="E53" s="6" t="s">
        <v>72</v>
      </c>
      <c r="G53" s="8">
        <v>46</v>
      </c>
      <c r="H53" s="8" t="s">
        <v>107</v>
      </c>
      <c r="I53" s="8" t="s">
        <v>69</v>
      </c>
      <c r="J53" s="8" t="s">
        <v>30</v>
      </c>
      <c r="K53" s="8" t="s">
        <v>118</v>
      </c>
      <c r="L53" s="8" t="s">
        <v>31</v>
      </c>
    </row>
    <row r="54" spans="2:18" x14ac:dyDescent="0.3">
      <c r="B54" s="6" t="s">
        <v>73</v>
      </c>
      <c r="C54" s="6" t="s">
        <v>119</v>
      </c>
      <c r="D54" s="6" t="s">
        <v>52</v>
      </c>
      <c r="E54" s="6" t="s">
        <v>53</v>
      </c>
      <c r="G54" s="8">
        <v>47</v>
      </c>
      <c r="H54" s="8" t="s">
        <v>107</v>
      </c>
      <c r="I54" s="8" t="s">
        <v>69</v>
      </c>
      <c r="J54" s="8" t="s">
        <v>35</v>
      </c>
      <c r="K54" s="8" t="s">
        <v>118</v>
      </c>
      <c r="L54" s="8" t="s">
        <v>36</v>
      </c>
    </row>
    <row r="55" spans="2:18" x14ac:dyDescent="0.3">
      <c r="B55" s="6" t="s">
        <v>83</v>
      </c>
      <c r="C55" s="6" t="s">
        <v>134</v>
      </c>
      <c r="D55" s="6" t="s">
        <v>84</v>
      </c>
      <c r="E55" s="6" t="s">
        <v>57</v>
      </c>
      <c r="G55" s="8">
        <v>48</v>
      </c>
      <c r="H55" s="8" t="s">
        <v>107</v>
      </c>
      <c r="I55" s="8" t="s">
        <v>69</v>
      </c>
      <c r="J55" s="8" t="s">
        <v>39</v>
      </c>
      <c r="K55" s="8" t="s">
        <v>118</v>
      </c>
      <c r="L55" s="8" t="s">
        <v>40</v>
      </c>
    </row>
    <row r="56" spans="2:18" x14ac:dyDescent="0.3">
      <c r="B56" s="6" t="s">
        <v>88</v>
      </c>
      <c r="C56" s="6" t="s">
        <v>120</v>
      </c>
      <c r="D56" s="6" t="s">
        <v>58</v>
      </c>
      <c r="E56" s="6" t="s">
        <v>59</v>
      </c>
      <c r="G56" s="8">
        <v>49</v>
      </c>
      <c r="H56" s="8" t="s">
        <v>108</v>
      </c>
      <c r="I56" s="8" t="s">
        <v>52</v>
      </c>
      <c r="J56" s="8" t="s">
        <v>30</v>
      </c>
      <c r="K56" s="8" t="s">
        <v>53</v>
      </c>
      <c r="L56" s="8" t="s">
        <v>31</v>
      </c>
    </row>
    <row r="57" spans="2:18" x14ac:dyDescent="0.3">
      <c r="B57" s="6" t="s">
        <v>91</v>
      </c>
      <c r="C57" s="6" t="s">
        <v>135</v>
      </c>
      <c r="D57" s="6" t="s">
        <v>14</v>
      </c>
      <c r="E57" s="6" t="s">
        <v>15</v>
      </c>
      <c r="G57" s="8">
        <v>50</v>
      </c>
      <c r="H57" s="8" t="s">
        <v>108</v>
      </c>
      <c r="I57" s="8" t="s">
        <v>52</v>
      </c>
      <c r="J57" s="8" t="s">
        <v>35</v>
      </c>
      <c r="K57" s="8" t="s">
        <v>53</v>
      </c>
      <c r="L57" s="8" t="s">
        <v>36</v>
      </c>
    </row>
    <row r="58" spans="2:18" x14ac:dyDescent="0.3">
      <c r="B58" s="6" t="s">
        <v>94</v>
      </c>
      <c r="C58" s="6" t="s">
        <v>136</v>
      </c>
      <c r="D58" s="6" t="s">
        <v>20</v>
      </c>
      <c r="E58" s="6" t="s">
        <v>21</v>
      </c>
      <c r="G58" s="8">
        <v>51</v>
      </c>
      <c r="H58" s="8" t="s">
        <v>108</v>
      </c>
      <c r="I58" s="8" t="s">
        <v>52</v>
      </c>
      <c r="J58" s="8" t="s">
        <v>55</v>
      </c>
      <c r="K58" s="8" t="s">
        <v>53</v>
      </c>
      <c r="L58" s="8" t="s">
        <v>56</v>
      </c>
    </row>
    <row r="59" spans="2:18" x14ac:dyDescent="0.3">
      <c r="B59" s="6" t="s">
        <v>97</v>
      </c>
      <c r="C59" s="6" t="s">
        <v>121</v>
      </c>
      <c r="D59" s="6" t="s">
        <v>26</v>
      </c>
      <c r="E59" s="6" t="s">
        <v>27</v>
      </c>
    </row>
    <row r="60" spans="2:18" x14ac:dyDescent="0.3">
      <c r="B60" s="6" t="s">
        <v>101</v>
      </c>
      <c r="C60" s="6" t="s">
        <v>122</v>
      </c>
      <c r="D60" s="6" t="s">
        <v>32</v>
      </c>
      <c r="E60" s="6" t="s">
        <v>33</v>
      </c>
    </row>
    <row r="61" spans="2:18" x14ac:dyDescent="0.3">
      <c r="B61" s="6" t="s">
        <v>103</v>
      </c>
      <c r="C61" s="6" t="s">
        <v>123</v>
      </c>
      <c r="D61" s="6" t="s">
        <v>37</v>
      </c>
      <c r="E61" s="6" t="s">
        <v>61</v>
      </c>
    </row>
    <row r="62" spans="2:18" x14ac:dyDescent="0.3">
      <c r="B62" s="6" t="s">
        <v>104</v>
      </c>
      <c r="C62" s="6" t="s">
        <v>124</v>
      </c>
      <c r="D62" s="6" t="s">
        <v>41</v>
      </c>
      <c r="E62" s="6" t="s">
        <v>42</v>
      </c>
    </row>
    <row r="63" spans="2:18" x14ac:dyDescent="0.3">
      <c r="B63" s="6" t="s">
        <v>105</v>
      </c>
      <c r="C63" s="6" t="s">
        <v>125</v>
      </c>
      <c r="D63" s="6" t="s">
        <v>62</v>
      </c>
      <c r="E63" s="6" t="s">
        <v>126</v>
      </c>
    </row>
    <row r="64" spans="2:18" x14ac:dyDescent="0.3">
      <c r="B64" s="6" t="s">
        <v>106</v>
      </c>
      <c r="C64" s="6" t="s">
        <v>127</v>
      </c>
      <c r="D64" s="6" t="s">
        <v>64</v>
      </c>
      <c r="E64" s="6" t="s">
        <v>65</v>
      </c>
    </row>
    <row r="65" spans="2:5" x14ac:dyDescent="0.3">
      <c r="B65" s="6" t="s">
        <v>107</v>
      </c>
      <c r="C65" s="6" t="s">
        <v>128</v>
      </c>
      <c r="D65" s="6" t="s">
        <v>69</v>
      </c>
      <c r="E65" s="6" t="s">
        <v>118</v>
      </c>
    </row>
    <row r="66" spans="2:5" x14ac:dyDescent="0.3">
      <c r="B66" s="6" t="s">
        <v>108</v>
      </c>
      <c r="C66" s="6" t="s">
        <v>129</v>
      </c>
      <c r="D66" s="6" t="s">
        <v>52</v>
      </c>
      <c r="E66" s="6" t="s">
        <v>53</v>
      </c>
    </row>
  </sheetData>
  <mergeCells count="7">
    <mergeCell ref="C3:L3"/>
    <mergeCell ref="B45:E45"/>
    <mergeCell ref="G6:L6"/>
    <mergeCell ref="Q6:T6"/>
    <mergeCell ref="Q23:V23"/>
    <mergeCell ref="B6:C6"/>
    <mergeCell ref="C26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 Citra</cp:lastModifiedBy>
  <dcterms:modified xsi:type="dcterms:W3CDTF">2026-10-12T07:38:15Z</dcterms:modified>
</cp:coreProperties>
</file>